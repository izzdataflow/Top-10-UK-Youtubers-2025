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project asset\"/>
    </mc:Choice>
  </mc:AlternateContent>
  <xr:revisionPtr revIDLastSave="0" documentId="13_ncr:10000001_{484F292E-75EC-47E4-A2D3-5E1A8941D83B}" xr6:coauthVersionLast="47" xr6:coauthVersionMax="47" xr10:uidLastSave="{00000000-0000-0000-0000-000000000000}"/>
  <bookViews>
    <workbookView xWindow="-120" yWindow="-120" windowWidth="29040" windowHeight="15720" xr2:uid="{729FE686-3AB5-4FB4-A41D-62FF8735F2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9" i="1"/>
  <c r="D11" i="1"/>
  <c r="D10" i="1"/>
  <c r="D9" i="1"/>
  <c r="L9" i="1" l="1"/>
  <c r="F9" i="1"/>
  <c r="L10" i="1"/>
  <c r="F10" i="1"/>
  <c r="L11" i="1"/>
  <c r="F11" i="1"/>
  <c r="M11" i="1" l="1"/>
  <c r="H11" i="1"/>
  <c r="M10" i="1"/>
  <c r="H10" i="1"/>
  <c r="M9" i="1"/>
  <c r="H9" i="1"/>
  <c r="N9" i="1" l="1"/>
  <c r="N10" i="1"/>
  <c r="N11" i="1"/>
</calcChain>
</file>

<file path=xl/sharedStrings.xml><?xml version="1.0" encoding="utf-8"?>
<sst xmlns="http://schemas.openxmlformats.org/spreadsheetml/2006/main" count="24" uniqueCount="24">
  <si>
    <t>Total Subscribers Analysis</t>
  </si>
  <si>
    <t>Reconciliations (Excel vs SQL)</t>
  </si>
  <si>
    <t>Channel Name</t>
  </si>
  <si>
    <t>Avg Views per Vid (Excel)</t>
  </si>
  <si>
    <t>Avg Views per Vid (SQL)</t>
  </si>
  <si>
    <t>Potential Product Sales per video(Excel)</t>
  </si>
  <si>
    <t>Potential Product Sales per video(SQL)</t>
  </si>
  <si>
    <t>Net Profit (Excel)</t>
  </si>
  <si>
    <t>Net Profit (SQL)</t>
  </si>
  <si>
    <t>Conversion Rate</t>
  </si>
  <si>
    <t>Product cost</t>
  </si>
  <si>
    <t>DanTDM</t>
  </si>
  <si>
    <t>Dan Rhodes</t>
  </si>
  <si>
    <t>NoCopyrightSounds</t>
  </si>
  <si>
    <t>Potential Revenue per Video ($USD)(Excel)</t>
  </si>
  <si>
    <t>Potential Revenue per Video($USD)(SQL)</t>
  </si>
  <si>
    <t>Campaign cost</t>
  </si>
  <si>
    <t>Difference (Excel vs SQL)</t>
  </si>
  <si>
    <t xml:space="preserve">Avg Views per Vid </t>
  </si>
  <si>
    <t>Potential Product Sales per video</t>
  </si>
  <si>
    <t>Potential Revenue per Video ($USD)</t>
  </si>
  <si>
    <t xml:space="preserve">Net Profit </t>
  </si>
  <si>
    <t>Recommendations</t>
  </si>
  <si>
    <t>Based on the viewership and views per subscriber, Dan Rhodes appear to be the best option to advance with because there's a higher return on invesment with Dan Rhodes compare to other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</si>
</sst>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Sego UI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0" fillId="0" borderId="1" xfId="0" applyBorder="1"/>
    <xf numFmtId="0" fontId="4" fillId="4" borderId="1" xfId="4" applyBorder="1" applyAlignment="1">
      <alignment horizontal="center" wrapText="1"/>
    </xf>
    <xf numFmtId="0" fontId="3" fillId="3" borderId="1" xfId="3" applyBorder="1" applyAlignment="1">
      <alignment horizontal="center" wrapText="1"/>
    </xf>
    <xf numFmtId="0" fontId="2" fillId="2" borderId="1" xfId="2" applyBorder="1" applyAlignment="1">
      <alignment horizontal="center" wrapText="1"/>
    </xf>
    <xf numFmtId="0" fontId="0" fillId="5" borderId="1" xfId="5" applyFont="1" applyBorder="1" applyAlignment="1">
      <alignment horizontal="center" wrapText="1"/>
    </xf>
    <xf numFmtId="164" fontId="0" fillId="0" borderId="1" xfId="1" applyNumberFormat="1" applyFont="1" applyBorder="1"/>
    <xf numFmtId="0" fontId="0" fillId="0" borderId="0" xfId="0" applyAlignment="1">
      <alignment wrapText="1"/>
    </xf>
    <xf numFmtId="0" fontId="6" fillId="6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164" fontId="0" fillId="0" borderId="1" xfId="0" applyNumberFormat="1" applyBorder="1" applyAlignment="1"/>
    <xf numFmtId="0" fontId="7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/>
    </xf>
    <xf numFmtId="0" fontId="8" fillId="4" borderId="1" xfId="4" applyFont="1" applyBorder="1" applyAlignment="1">
      <alignment horizontal="center" wrapText="1"/>
    </xf>
    <xf numFmtId="0" fontId="9" fillId="3" borderId="1" xfId="3" applyFont="1" applyBorder="1" applyAlignment="1">
      <alignment horizontal="center" wrapText="1"/>
    </xf>
    <xf numFmtId="0" fontId="10" fillId="2" borderId="1" xfId="2" applyFont="1" applyBorder="1" applyAlignment="1">
      <alignment horizontal="center" wrapText="1"/>
    </xf>
    <xf numFmtId="0" fontId="5" fillId="5" borderId="1" xfId="5" applyFont="1" applyBorder="1" applyAlignment="1">
      <alignment horizontal="center" wrapText="1"/>
    </xf>
    <xf numFmtId="0" fontId="5" fillId="5" borderId="1" xfId="5" applyFont="1" applyBorder="1"/>
  </cellXfs>
  <cellStyles count="6">
    <cellStyle name="20% - Accent5" xfId="5" builtinId="46"/>
    <cellStyle name="Bad" xfId="3" builtinId="27"/>
    <cellStyle name="Comma" xfId="1" builtinId="3"/>
    <cellStyle name="Good" xfId="2" builtinId="26"/>
    <cellStyle name="Neutral" xfId="4" builtinId="28"/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  <color rgb="FFFF66FF"/>
      <color rgb="FFCC33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95E8-F3B2-47F7-9B0B-877275B83B22}">
  <dimension ref="A1:N18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/>
  <cols>
    <col min="1" max="1" width="18.85546875" bestFit="1" customWidth="1"/>
    <col min="2" max="2" width="17.28515625" customWidth="1"/>
    <col min="3" max="3" width="17.5703125" customWidth="1"/>
    <col min="4" max="4" width="16.5703125" customWidth="1"/>
    <col min="5" max="5" width="14.85546875" customWidth="1"/>
    <col min="6" max="6" width="19.5703125" customWidth="1"/>
    <col min="7" max="7" width="17.42578125" customWidth="1"/>
    <col min="8" max="8" width="11.5703125" customWidth="1"/>
    <col min="9" max="9" width="10.42578125" customWidth="1"/>
    <col min="10" max="10" width="11.7109375" customWidth="1"/>
    <col min="11" max="11" width="17" customWidth="1"/>
    <col min="12" max="12" width="21.42578125" customWidth="1"/>
    <col min="13" max="13" width="25.5703125" customWidth="1"/>
    <col min="14" max="14" width="15.42578125" customWidth="1"/>
  </cols>
  <sheetData>
    <row r="1" spans="1:14" ht="23.25">
      <c r="A1" s="9" t="s">
        <v>0</v>
      </c>
      <c r="B1" s="9"/>
      <c r="C1" s="9"/>
      <c r="D1" s="9"/>
    </row>
    <row r="3" spans="1:14">
      <c r="A3" s="1" t="s">
        <v>1</v>
      </c>
      <c r="C3" s="18" t="s">
        <v>9</v>
      </c>
      <c r="D3" s="2">
        <v>0.02</v>
      </c>
    </row>
    <row r="4" spans="1:14">
      <c r="C4" s="18" t="s">
        <v>10</v>
      </c>
      <c r="D4" s="2">
        <v>5</v>
      </c>
    </row>
    <row r="5" spans="1:14">
      <c r="C5" s="18" t="s">
        <v>16</v>
      </c>
      <c r="D5" s="7">
        <v>50000</v>
      </c>
    </row>
    <row r="7" spans="1:14">
      <c r="F7" s="8"/>
      <c r="K7" s="10" t="s">
        <v>17</v>
      </c>
      <c r="L7" s="10"/>
      <c r="M7" s="10"/>
      <c r="N7" s="10"/>
    </row>
    <row r="8" spans="1:14" ht="45">
      <c r="A8" s="13" t="s">
        <v>2</v>
      </c>
      <c r="B8" s="14" t="s">
        <v>3</v>
      </c>
      <c r="C8" s="14" t="s">
        <v>4</v>
      </c>
      <c r="D8" s="15" t="s">
        <v>5</v>
      </c>
      <c r="E8" s="15" t="s">
        <v>6</v>
      </c>
      <c r="F8" s="16" t="s">
        <v>14</v>
      </c>
      <c r="G8" s="16" t="s">
        <v>15</v>
      </c>
      <c r="H8" s="17" t="s">
        <v>7</v>
      </c>
      <c r="I8" s="17" t="s">
        <v>8</v>
      </c>
      <c r="K8" s="3" t="s">
        <v>18</v>
      </c>
      <c r="L8" s="4" t="s">
        <v>19</v>
      </c>
      <c r="M8" s="5" t="s">
        <v>20</v>
      </c>
      <c r="N8" s="6" t="s">
        <v>21</v>
      </c>
    </row>
    <row r="9" spans="1:14">
      <c r="A9" s="2" t="s">
        <v>13</v>
      </c>
      <c r="B9" s="7">
        <v>5910000</v>
      </c>
      <c r="C9" s="7">
        <v>5910000</v>
      </c>
      <c r="D9" s="7">
        <f>B9*$D$3</f>
        <v>118200</v>
      </c>
      <c r="E9" s="7">
        <v>118200</v>
      </c>
      <c r="F9" s="7">
        <f>D9*$D$4</f>
        <v>591000</v>
      </c>
      <c r="G9" s="7">
        <v>591000</v>
      </c>
      <c r="H9" s="7">
        <f>F9-$D$5</f>
        <v>541000</v>
      </c>
      <c r="I9" s="7">
        <v>541000</v>
      </c>
      <c r="K9" s="11">
        <f>B9-C9</f>
        <v>0</v>
      </c>
      <c r="L9" s="11">
        <f>D9-E9</f>
        <v>0</v>
      </c>
      <c r="M9" s="11">
        <f>F9-G9</f>
        <v>0</v>
      </c>
      <c r="N9" s="11">
        <f>H9-I9</f>
        <v>0</v>
      </c>
    </row>
    <row r="10" spans="1:14">
      <c r="A10" s="2" t="s">
        <v>11</v>
      </c>
      <c r="B10" s="7">
        <v>5360000</v>
      </c>
      <c r="C10" s="7">
        <v>5360000</v>
      </c>
      <c r="D10" s="7">
        <f>B10*$D$3</f>
        <v>107200</v>
      </c>
      <c r="E10" s="7">
        <v>107200</v>
      </c>
      <c r="F10" s="7">
        <f>D10*$D$4</f>
        <v>536000</v>
      </c>
      <c r="G10" s="7">
        <v>536000</v>
      </c>
      <c r="H10" s="7">
        <f>F10-$D$5</f>
        <v>486000</v>
      </c>
      <c r="I10" s="7">
        <v>486000</v>
      </c>
      <c r="K10" s="11">
        <f>B10-C10</f>
        <v>0</v>
      </c>
      <c r="L10" s="11">
        <f>D10-E10</f>
        <v>0</v>
      </c>
      <c r="M10" s="11">
        <f>F10-G10</f>
        <v>0</v>
      </c>
      <c r="N10" s="11">
        <f>H10-I10</f>
        <v>0</v>
      </c>
    </row>
    <row r="11" spans="1:14">
      <c r="A11" s="2" t="s">
        <v>12</v>
      </c>
      <c r="B11" s="7">
        <v>11150000</v>
      </c>
      <c r="C11" s="7">
        <v>11150000</v>
      </c>
      <c r="D11" s="7">
        <f>B11*$D$3</f>
        <v>223000</v>
      </c>
      <c r="E11" s="7">
        <v>223000</v>
      </c>
      <c r="F11" s="7">
        <f>D11*$D$4</f>
        <v>1115000</v>
      </c>
      <c r="G11" s="7">
        <v>1115000</v>
      </c>
      <c r="H11" s="7">
        <f>F11-$D$5</f>
        <v>1065000</v>
      </c>
      <c r="I11" s="7">
        <v>1065000</v>
      </c>
      <c r="K11" s="11">
        <f>B11-C11</f>
        <v>0</v>
      </c>
      <c r="L11" s="11">
        <f>D11-E11</f>
        <v>0</v>
      </c>
      <c r="M11" s="11">
        <f>F11-G11</f>
        <v>0</v>
      </c>
      <c r="N11" s="11">
        <f>H11-I11</f>
        <v>0</v>
      </c>
    </row>
    <row r="15" spans="1:14">
      <c r="A15" s="1" t="s">
        <v>22</v>
      </c>
    </row>
    <row r="17" spans="1:6">
      <c r="A17" s="12" t="s">
        <v>23</v>
      </c>
      <c r="B17" s="12"/>
      <c r="C17" s="12"/>
      <c r="D17" s="12"/>
      <c r="E17" s="12"/>
      <c r="F17" s="12"/>
    </row>
    <row r="18" spans="1:6">
      <c r="A18" s="12"/>
      <c r="B18" s="12"/>
      <c r="C18" s="12"/>
      <c r="D18" s="12"/>
      <c r="E18" s="12"/>
      <c r="F18" s="12"/>
    </row>
  </sheetData>
  <mergeCells count="3">
    <mergeCell ref="A1:D1"/>
    <mergeCell ref="K7:N7"/>
    <mergeCell ref="A17:F18"/>
  </mergeCells>
  <conditionalFormatting sqref="K9:N11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naufalizzudin36@gmail.com</dc:creator>
  <cp:lastModifiedBy>naufalizzudin36@gmail.com</cp:lastModifiedBy>
  <dcterms:created xsi:type="dcterms:W3CDTF">2026-02-18T16:16:37Z</dcterms:created>
  <dcterms:modified xsi:type="dcterms:W3CDTF">2026-02-19T03:28:23Z</dcterms:modified>
</cp:coreProperties>
</file>